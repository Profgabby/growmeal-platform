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f215e4e20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age Inputs" sheetId="1" r:id="Rbf9975eb6a084292"/>
    <x:sheet xmlns:r="http://schemas.openxmlformats.org/officeDocument/2006/relationships" name="BOM &amp; Budget" sheetId="2" r:id="Rd58098f4ef784fd1"/>
    <x:sheet xmlns:r="http://schemas.openxmlformats.org/officeDocument/2006/relationships" name="Budget Summary" sheetId="3" r:id="Rcdbef5ad92d34b24"/>
    <x:sheet xmlns:r="http://schemas.openxmlformats.org/officeDocument/2006/relationships" name="Procurement Schedule" sheetId="4" r:id="R9f579c05654e4b3a"/>
    <x:sheet xmlns:r="http://schemas.openxmlformats.org/officeDocument/2006/relationships" name="Supplier Comparison" sheetId="5" r:id="R8accbed0da554256"/>
    <x:sheet xmlns:r="http://schemas.openxmlformats.org/officeDocument/2006/relationships" name="Annual OPEX" sheetId="6" r:id="Rcec58bafe82c4d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6B3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633fad3a64614" /><Relationship Type="http://schemas.openxmlformats.org/officeDocument/2006/relationships/theme" Target="/xl/theme/theme1.xml" Id="Rc932e35e20b840ed" /><Relationship Type="http://schemas.openxmlformats.org/officeDocument/2006/relationships/sharedStrings" Target="/xl/sharedStrings.xml" Id="Rae6315cb877a47da" /><Relationship Type="http://schemas.openxmlformats.org/officeDocument/2006/relationships/worksheet" Target="/xl/worksheets/sheet1.xml" Id="Rbf9975eb6a084292" /><Relationship Type="http://schemas.openxmlformats.org/officeDocument/2006/relationships/worksheet" Target="/xl/worksheets/sheet2.xml" Id="Rd58098f4ef784fd1" /><Relationship Type="http://schemas.openxmlformats.org/officeDocument/2006/relationships/worksheet" Target="/xl/worksheets/sheet3.xml" Id="Rcdbef5ad92d34b24" /><Relationship Type="http://schemas.openxmlformats.org/officeDocument/2006/relationships/worksheet" Target="/xl/worksheets/sheet4.xml" Id="R9f579c05654e4b3a" /><Relationship Type="http://schemas.openxmlformats.org/officeDocument/2006/relationships/worksheet" Target="/xl/worksheets/sheet5.xml" Id="R8accbed0da554256" /><Relationship Type="http://schemas.openxmlformats.org/officeDocument/2006/relationships/worksheet" Target="/xl/worksheets/sheet6.xml" Id="Rcec58bafe82c4d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cb603cfb2a48c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Package Cost Components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'Budget Summary'!$A$4:$A$9</c:f>
              <c:strCache>
                <c:ptCount val="0"/>
              </c:strCache>
            </c:strRef>
          </c:cat>
          <c:val>
            <c:numRef>
              <c:f>'Budget Summary'!$B$4:$B$9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cb603cfb2a48c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12ab2f1fcf5439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0" t="str">
        <x:v>LIFEWS AgriShine GrowMeal - School Package Cost Model</x:v>
      </x:c>
      <x:c r="B1" s="20"/>
      <x:c r="C1" s="20"/>
      <x:c r="D1" s="20"/>
      <x:c r="E1" s="20"/>
      <x:c r="F1" s="20"/>
      <x:c r="G1" s="20"/>
      <x:c r="H1" s="20"/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13" t="str">
        <x:v>Input</x:v>
      </x:c>
      <x:c r="B3" s="13" t="str">
        <x:v>Value</x:v>
      </x:c>
      <x:c r="C3" s="21"/>
      <x:c r="D3" s="21"/>
      <x:c r="E3" s="21"/>
      <x:c r="F3" s="21"/>
      <x:c r="G3" s="21"/>
      <x:c r="H3" s="21"/>
    </x:row>
    <x:row r="4">
      <x:c r="A4" s="21" t="str">
        <x:v>Package Tier</x:v>
      </x:c>
      <x:c r="B4" s="21" t="str">
        <x:v>STANDARD</x:v>
      </x:c>
      <x:c r="C4" s="21"/>
      <x:c r="D4" s="21"/>
      <x:c r="E4" s="21"/>
      <x:c r="F4" s="21"/>
      <x:c r="G4" s="21"/>
      <x:c r="H4" s="21"/>
    </x:row>
    <x:row r="5">
      <x:c r="A5" s="21" t="str">
        <x:v>Number of Schools</x:v>
      </x:c>
      <x:c r="B5" s="21" t="n">
        <x:v>1</x:v>
      </x:c>
      <x:c r="C5" s="21"/>
      <x:c r="D5" s="21"/>
      <x:c r="E5" s="21"/>
      <x:c r="F5" s="21"/>
      <x:c r="G5" s="21"/>
      <x:c r="H5" s="21"/>
    </x:row>
    <x:row r="6">
      <x:c r="A6" s="21" t="str">
        <x:v>Contingency %</x:v>
      </x:c>
      <x:c r="B6" s="22" t="n">
        <x:v>0.1</x:v>
      </x:c>
      <x:c r="C6" s="21"/>
      <x:c r="D6" s="21"/>
      <x:c r="E6" s="21"/>
      <x:c r="F6" s="21"/>
      <x:c r="G6" s="21"/>
      <x:c r="H6" s="21"/>
    </x:row>
    <x:row r="7">
      <x:c r="A7" s="21" t="str">
        <x:v>Installation Labor %</x:v>
      </x:c>
      <x:c r="B7" s="22" t="n">
        <x:v>0.12</x:v>
      </x:c>
      <x:c r="C7" s="21"/>
      <x:c r="D7" s="21"/>
      <x:c r="E7" s="21"/>
      <x:c r="F7" s="21"/>
      <x:c r="G7" s="21"/>
      <x:c r="H7" s="21"/>
    </x:row>
    <x:row r="8">
      <x:c r="A8" s="21" t="str">
        <x:v>Logistics %</x:v>
      </x:c>
      <x:c r="B8" s="22" t="n">
        <x:v>0.08</x:v>
      </x:c>
      <x:c r="C8" s="21"/>
      <x:c r="D8" s="21"/>
      <x:c r="E8" s="21"/>
      <x:c r="F8" s="21"/>
      <x:c r="G8" s="21"/>
      <x:c r="H8" s="21"/>
    </x:row>
    <x:row r="9">
      <x:c r="A9" s="21" t="str">
        <x:v>Tax/Fees %</x:v>
      </x:c>
      <x:c r="B9" s="22" t="n">
        <x:v>0</x:v>
      </x:c>
      <x:c r="C9" s="21"/>
      <x:c r="D9" s="21"/>
      <x:c r="E9" s="21"/>
      <x:c r="F9" s="21"/>
      <x:c r="G9" s="21"/>
      <x:c r="H9" s="21"/>
    </x:row>
    <x:row r="10">
      <x:c r="A10" s="21" t="str">
        <x:v>Annual Maintenance % of CAPEX</x:v>
      </x:c>
      <x:c r="B10" s="22" t="n">
        <x:v>0.08</x:v>
      </x:c>
      <x:c r="C10" s="21"/>
      <x:c r="D10" s="21"/>
      <x:c r="E10" s="21"/>
      <x:c r="F10" s="21"/>
      <x:c r="G10" s="21"/>
      <x:c r="H10" s="21"/>
    </x:row>
    <x:row r="11">
      <x:c r="A11" s="21" t="str">
        <x:v>Currency</x:v>
      </x:c>
      <x:c r="B11" s="21" t="str">
        <x:v>NGN</x:v>
      </x:c>
      <x:c r="C11" s="21"/>
      <x:c r="D11" s="21"/>
      <x:c r="E11" s="21"/>
      <x:c r="F11" s="21"/>
      <x:c r="G11" s="21"/>
      <x:c r="H11" s="21"/>
    </x:row>
    <x:row r="12">
      <x:c r="A12" s="21"/>
      <x:c r="B12" s="21"/>
      <x:c r="C12" s="21"/>
      <x:c r="D12" s="21"/>
      <x:c r="E12" s="21"/>
      <x:c r="F12" s="21"/>
      <x:c r="G12" s="21"/>
      <x:c r="H12" s="21"/>
    </x:row>
    <x:row r="13">
      <x:c r="A13" s="13" t="str">
        <x:v>Package</x:v>
      </x:c>
      <x:c r="B13" s="13" t="str">
        <x:v>Typical Gardens</x:v>
      </x:c>
      <x:c r="C13" s="13" t="str">
        <x:v>Target</x:v>
      </x:c>
      <x:c r="D13" s="13" t="str">
        <x:v>Complexity</x:v>
      </x:c>
      <x:c r="E13" s="13" t="str">
        <x:v>Default Qty Factor</x:v>
      </x:c>
      <x:c r="F13" s="13" t="str">
        <x:v>Description</x:v>
      </x:c>
      <x:c r="G13" s="13" t="str"/>
      <x:c r="H13" s="13" t="str"/>
    </x:row>
    <x:row r="14">
      <x:c r="A14" s="21" t="str">
        <x:v>STARTER</x:v>
      </x:c>
      <x:c r="B14" s="21" t="str">
        <x:v>1-2</x:v>
      </x:c>
      <x:c r="C14" s="21" t="str">
        <x:v>Entry school</x:v>
      </x:c>
      <x:c r="D14" s="21" t="str">
        <x:v>Low</x:v>
      </x:c>
      <x:c r="E14" s="21" t="n">
        <x:v>0.25</x:v>
      </x:c>
      <x:c r="F14" s="21" t="str">
        <x:v>Priority gardens/basic resources</x:v>
      </x:c>
      <x:c r="G14" s="21" t="str"/>
      <x:c r="H14" s="21" t="str"/>
    </x:row>
    <x:row r="15">
      <x:c r="A15" s="21" t="str">
        <x:v>STANDARD</x:v>
      </x:c>
      <x:c r="B15" s="21" t="str">
        <x:v>Up to 10</x:v>
      </x:c>
      <x:c r="C15" s="21" t="str">
        <x:v>One full level</x:v>
      </x:c>
      <x:c r="D15" s="21" t="str">
        <x:v>Moderate</x:v>
      </x:c>
      <x:c r="E15" s="21" t="n">
        <x:v>1</x:v>
      </x:c>
      <x:c r="F15" s="21" t="str">
        <x:v>Complete level implementation</x:v>
      </x:c>
      <x:c r="G15" s="21" t="str"/>
      <x:c r="H15" s="21" t="str"/>
    </x:row>
    <x:row r="16">
      <x:c r="A16" s="21" t="str">
        <x:v>ADVANCED</x:v>
      </x:c>
      <x:c r="B16" s="21" t="str">
        <x:v>20-30</x:v>
      </x:c>
      <x:c r="C16" s="21" t="str">
        <x:v>Multi-level</x:v>
      </x:c>
      <x:c r="D16" s="21" t="str">
        <x:v>Moderate-High</x:v>
      </x:c>
      <x:c r="E16" s="21" t="n">
        <x:v>2.5</x:v>
      </x:c>
      <x:c r="F16" s="21" t="str">
        <x:v>Expanded multi-level implementation</x:v>
      </x:c>
      <x:c r="G16" s="21" t="str"/>
      <x:c r="H16" s="21" t="str"/>
    </x:row>
    <x:row r="17">
      <x:c r="A17" s="21" t="str">
        <x:v>RESEARCH</x:v>
      </x:c>
      <x:c r="B17" s="21" t="str">
        <x:v>Selected advanced</x:v>
      </x:c>
      <x:c r="C17" s="21" t="str">
        <x:v>JSS/SSS research</x:v>
      </x:c>
      <x:c r="D17" s="21" t="str">
        <x:v>High</x:v>
      </x:c>
      <x:c r="E17" s="21" t="n">
        <x:v>1.5</x:v>
      </x:c>
      <x:c r="F17" s="21" t="str">
        <x:v>Instrumented advanced systems</x:v>
      </x:c>
      <x:c r="G17" s="21" t="str"/>
      <x:c r="H17" s="21" t="str"/>
    </x:row>
    <x:row r="18">
      <x:c r="A18" s="21" t="str"/>
      <x:c r="B18" s="21" t="str"/>
      <x:c r="C18" s="21" t="str"/>
      <x:c r="D18" s="21" t="str"/>
      <x:c r="E18" s="21" t="str"/>
      <x:c r="F18" s="21" t="str"/>
      <x:c r="G18" s="21" t="str"/>
      <x:c r="H18" s="21" t="str"/>
    </x:row>
    <x:row r="19">
      <x:c r="A19" s="21"/>
      <x:c r="B19" s="21"/>
      <x:c r="C19" s="21"/>
      <x:c r="D19" s="21"/>
      <x:c r="E19" s="21"/>
      <x:c r="F19" s="21"/>
      <x:c r="G19" s="21"/>
      <x:c r="H19" s="21"/>
    </x:row>
    <x:row r="20">
      <x:c r="A20" s="21"/>
      <x:c r="B20" s="21"/>
      <x:c r="C20" s="21"/>
      <x:c r="D20" s="21"/>
      <x:c r="E20" s="21"/>
      <x:c r="F20" s="21"/>
      <x:c r="G20" s="21"/>
      <x:c r="H20" s="21"/>
    </x:row>
  </x:sheetData>
  <x:mergeCells>
    <x:mergeCell ref="A1:H1"/>
  </x:mergeCells>
  <x:dataValidations count="1">
    <x:dataValidation type="list" sqref="B4">
      <x:formula1>"STARTER,STANDARD,ADVANCED,RESEARCH"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8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8" hidden="0" customWidth="1"/>
  </x:cols>
  <x:sheetData>
    <x:row r="1">
      <x:c r="A1" s="13" t="str">
        <x:v>Category</x:v>
      </x:c>
      <x:c r="B1" s="13" t="str">
        <x:v>Item</x:v>
      </x:c>
      <x:c r="C1" s="13" t="str">
        <x:v>Specification / Notes</x:v>
      </x:c>
      <x:c r="D1" s="13" t="str">
        <x:v>Base Qty</x:v>
      </x:c>
      <x:c r="E1" s="13" t="str">
        <x:v>Unit</x:v>
      </x:c>
      <x:c r="F1" s="13" t="str">
        <x:v>Unit Cost</x:v>
      </x:c>
      <x:c r="G1" s="13" t="str">
        <x:v>Base Cost</x:v>
      </x:c>
      <x:c r="H1" s="13" t="str">
        <x:v>Package Factor</x:v>
      </x:c>
      <x:c r="I1" s="13" t="str">
        <x:v>Adjusted Qty</x:v>
      </x:c>
      <x:c r="J1" s="13" t="str">
        <x:v>Adjusted Cost</x:v>
      </x:c>
    </x:row>
    <x:row r="2">
      <x:c r="A2" s="21" t="str">
        <x:v>Site Preparation</x:v>
      </x:c>
      <x:c r="B2" s="21" t="str">
        <x:v>Clearing / layout</x:v>
      </x:c>
      <x:c r="C2" s="21" t="str">
        <x:v>Site-specific</x:v>
      </x:c>
      <x:c r="D2" s="21" t="n">
        <x:v>1</x:v>
      </x:c>
      <x:c r="E2" s="21" t="str">
        <x:v>lot</x:v>
      </x:c>
      <x:c r="F2" s="28" t="str"/>
      <x:c r="G2" s="28" t="n">
        <x:f>D2*F2</x:f>
        <x:v>0</x:v>
      </x:c>
      <x:c r="H2" s="28" t="n">
        <x:f>IF('Package Inputs'!$B$4="STARTER",0.25,IF('Package Inputs'!$B$4="STANDARD",1,IF('Package Inputs'!$B$4="ADVANCED",2.5,1.5)))</x:f>
        <x:v>1</x:v>
      </x:c>
      <x:c r="I2" s="28" t="n">
        <x:f>D2*H2</x:f>
        <x:v>1</x:v>
      </x:c>
      <x:c r="J2" s="28" t="n">
        <x:f>I2*F2</x:f>
        <x:v>0</x:v>
      </x:c>
    </x:row>
    <x:row r="3">
      <x:c r="A3" s="21" t="str">
        <x:v>Structures</x:v>
      </x:c>
      <x:c r="B3" s="21" t="str">
        <x:v>Beds / frames / containers</x:v>
      </x:c>
      <x:c r="C3" s="21" t="str">
        <x:v>Per selected garden design</x:v>
      </x:c>
      <x:c r="D3" s="21" t="n">
        <x:v>10</x:v>
      </x:c>
      <x:c r="E3" s="21" t="str">
        <x:v>unit</x:v>
      </x:c>
      <x:c r="F3" s="28" t="str"/>
      <x:c r="G3" s="28" t="n">
        <x:f>D3*F3</x:f>
        <x:v>0</x:v>
      </x:c>
      <x:c r="H3" s="28" t="n">
        <x:f>IF('Package Inputs'!$B$4="STARTER",0.25,IF('Package Inputs'!$B$4="STANDARD",1,IF('Package Inputs'!$B$4="ADVANCED",2.5,1.5)))</x:f>
        <x:v>1</x:v>
      </x:c>
      <x:c r="I3" s="28" t="n">
        <x:f>D3*H3</x:f>
        <x:v>10</x:v>
      </x:c>
      <x:c r="J3" s="28" t="n">
        <x:f>I3*F3</x:f>
        <x:v>0</x:v>
      </x:c>
    </x:row>
    <x:row r="4">
      <x:c r="A4" s="21" t="str">
        <x:v>Water &amp; Irrigation</x:v>
      </x:c>
      <x:c r="B4" s="21" t="str">
        <x:v>Tank / storage</x:v>
      </x:c>
      <x:c r="C4" s="21" t="str">
        <x:v>Size to site and package</x:v>
      </x:c>
      <x:c r="D4" s="21" t="n">
        <x:v>1</x:v>
      </x:c>
      <x:c r="E4" s="21" t="str">
        <x:v>unit</x:v>
      </x:c>
      <x:c r="F4" s="28" t="str"/>
      <x:c r="G4" s="28" t="n">
        <x:f>D4*F4</x:f>
        <x:v>0</x:v>
      </x:c>
      <x:c r="H4" s="28" t="n">
        <x:f>IF('Package Inputs'!$B$4="STARTER",0.25,IF('Package Inputs'!$B$4="STANDARD",1,IF('Package Inputs'!$B$4="ADVANCED",2.5,1.5)))</x:f>
        <x:v>1</x:v>
      </x:c>
      <x:c r="I4" s="28" t="n">
        <x:f>D4*H4</x:f>
        <x:v>1</x:v>
      </x:c>
      <x:c r="J4" s="28" t="n">
        <x:f>I4*F4</x:f>
        <x:v>0</x:v>
      </x:c>
    </x:row>
    <x:row r="5">
      <x:c r="A5" s="21" t="str">
        <x:v>Water &amp; Irrigation</x:v>
      </x:c>
      <x:c r="B5" s="21" t="str">
        <x:v>Hose / drip / fittings</x:v>
      </x:c>
      <x:c r="C5" s="21" t="str">
        <x:v>Mainline, laterals, valves, emitters</x:v>
      </x:c>
      <x:c r="D5" s="21" t="n">
        <x:v>1</x:v>
      </x:c>
      <x:c r="E5" s="21" t="str">
        <x:v>lot</x:v>
      </x:c>
      <x:c r="F5" s="28" t="str"/>
      <x:c r="G5" s="28" t="n">
        <x:f>D5*F5</x:f>
        <x:v>0</x:v>
      </x:c>
      <x:c r="H5" s="28" t="n">
        <x:f>IF('Package Inputs'!$B$4="STARTER",0.25,IF('Package Inputs'!$B$4="STANDARD",1,IF('Package Inputs'!$B$4="ADVANCED",2.5,1.5)))</x:f>
        <x:v>1</x:v>
      </x:c>
      <x:c r="I5" s="28" t="n">
        <x:f>D5*H5</x:f>
        <x:v>1</x:v>
      </x:c>
      <x:c r="J5" s="28" t="n">
        <x:f>I5*F5</x:f>
        <x:v>0</x:v>
      </x:c>
    </x:row>
    <x:row r="6">
      <x:c r="A6" s="21" t="str">
        <x:v>Growing Inputs</x:v>
      </x:c>
      <x:c r="B6" s="21" t="str">
        <x:v>Growing medium / soil</x:v>
      </x:c>
      <x:c r="C6" s="21" t="str">
        <x:v>Clean suitable material</x:v>
      </x:c>
      <x:c r="D6" s="21" t="n">
        <x:v>1</x:v>
      </x:c>
      <x:c r="E6" s="21" t="str">
        <x:v>lot</x:v>
      </x:c>
      <x:c r="F6" s="28" t="str"/>
      <x:c r="G6" s="28" t="n">
        <x:f>D6*F6</x:f>
        <x:v>0</x:v>
      </x:c>
      <x:c r="H6" s="28" t="n">
        <x:f>IF('Package Inputs'!$B$4="STARTER",0.25,IF('Package Inputs'!$B$4="STANDARD",1,IF('Package Inputs'!$B$4="ADVANCED",2.5,1.5)))</x:f>
        <x:v>1</x:v>
      </x:c>
      <x:c r="I6" s="28" t="n">
        <x:f>D6*H6</x:f>
        <x:v>1</x:v>
      </x:c>
      <x:c r="J6" s="28" t="n">
        <x:f>I6*F6</x:f>
        <x:v>0</x:v>
      </x:c>
    </x:row>
    <x:row r="7">
      <x:c r="A7" s="21" t="str">
        <x:v>Growing Inputs</x:v>
      </x:c>
      <x:c r="B7" s="21" t="str">
        <x:v>Compost / amendments</x:v>
      </x:c>
      <x:c r="C7" s="21" t="str">
        <x:v>Approved inputs</x:v>
      </x:c>
      <x:c r="D7" s="21" t="n">
        <x:v>1</x:v>
      </x:c>
      <x:c r="E7" s="21" t="str">
        <x:v>lot</x:v>
      </x:c>
      <x:c r="F7" s="28" t="str"/>
      <x:c r="G7" s="28" t="n">
        <x:f>D7*F7</x:f>
        <x:v>0</x:v>
      </x:c>
      <x:c r="H7" s="28" t="n">
        <x:f>IF('Package Inputs'!$B$4="STARTER",0.25,IF('Package Inputs'!$B$4="STANDARD",1,IF('Package Inputs'!$B$4="ADVANCED",2.5,1.5)))</x:f>
        <x:v>1</x:v>
      </x:c>
      <x:c r="I7" s="28" t="n">
        <x:f>D7*H7</x:f>
        <x:v>1</x:v>
      </x:c>
      <x:c r="J7" s="28" t="n">
        <x:f>I7*F7</x:f>
        <x:v>0</x:v>
      </x:c>
    </x:row>
    <x:row r="8">
      <x:c r="A8" s="21" t="str">
        <x:v>Planting Material</x:v>
      </x:c>
      <x:c r="B8" s="21" t="str">
        <x:v>Seeds / seedlings</x:v>
      </x:c>
      <x:c r="C8" s="21" t="str">
        <x:v>Level/crop-specific</x:v>
      </x:c>
      <x:c r="D8" s="21" t="n">
        <x:v>1</x:v>
      </x:c>
      <x:c r="E8" s="21" t="str">
        <x:v>lot</x:v>
      </x:c>
      <x:c r="F8" s="28" t="str"/>
      <x:c r="G8" s="28" t="n">
        <x:f>D8*F8</x:f>
        <x:v>0</x:v>
      </x:c>
      <x:c r="H8" s="28" t="n">
        <x:f>IF('Package Inputs'!$B$4="STARTER",0.25,IF('Package Inputs'!$B$4="STANDARD",1,IF('Package Inputs'!$B$4="ADVANCED",2.5,1.5)))</x:f>
        <x:v>1</x:v>
      </x:c>
      <x:c r="I8" s="28" t="n">
        <x:f>D8*H8</x:f>
        <x:v>1</x:v>
      </x:c>
      <x:c r="J8" s="28" t="n">
        <x:f>I8*F8</x:f>
        <x:v>0</x:v>
      </x:c>
    </x:row>
    <x:row r="9">
      <x:c r="A9" s="21" t="str">
        <x:v>Tools</x:v>
      </x:c>
      <x:c r="B9" s="21" t="str">
        <x:v>Learner hand-tool set</x:v>
      </x:c>
      <x:c r="C9" s="21" t="str">
        <x:v>Age-appropriate</x:v>
      </x:c>
      <x:c r="D9" s="21" t="n">
        <x:v>10</x:v>
      </x:c>
      <x:c r="E9" s="21" t="str">
        <x:v>set</x:v>
      </x:c>
      <x:c r="F9" s="28" t="str"/>
      <x:c r="G9" s="28" t="n">
        <x:f>D9*F9</x:f>
        <x:v>0</x:v>
      </x:c>
      <x:c r="H9" s="28" t="n">
        <x:f>IF('Package Inputs'!$B$4="STARTER",0.25,IF('Package Inputs'!$B$4="STANDARD",1,IF('Package Inputs'!$B$4="ADVANCED",2.5,1.5)))</x:f>
        <x:v>1</x:v>
      </x:c>
      <x:c r="I9" s="28" t="n">
        <x:f>D9*H9</x:f>
        <x:v>10</x:v>
      </x:c>
      <x:c r="J9" s="28" t="n">
        <x:f>I9*F9</x:f>
        <x:v>0</x:v>
      </x:c>
    </x:row>
    <x:row r="10">
      <x:c r="A10" s="21" t="str">
        <x:v>Tools</x:v>
      </x:c>
      <x:c r="B10" s="21" t="str">
        <x:v>Teacher / maintenance tool set</x:v>
      </x:c>
      <x:c r="C10" s="21" t="str">
        <x:v>Controlled storage</x:v>
      </x:c>
      <x:c r="D10" s="21" t="n">
        <x:v>1</x:v>
      </x:c>
      <x:c r="E10" s="21" t="str">
        <x:v>set</x:v>
      </x:c>
      <x:c r="F10" s="28" t="str"/>
      <x:c r="G10" s="28" t="n">
        <x:f>D10*F10</x:f>
        <x:v>0</x:v>
      </x:c>
      <x:c r="H10" s="28" t="n">
        <x:f>IF('Package Inputs'!$B$4="STARTER",0.25,IF('Package Inputs'!$B$4="STANDARD",1,IF('Package Inputs'!$B$4="ADVANCED",2.5,1.5)))</x:f>
        <x:v>1</x:v>
      </x:c>
      <x:c r="I10" s="28" t="n">
        <x:f>D10*H10</x:f>
        <x:v>1</x:v>
      </x:c>
      <x:c r="J10" s="28" t="n">
        <x:f>I10*F10</x:f>
        <x:v>0</x:v>
      </x:c>
    </x:row>
    <x:row r="11">
      <x:c r="A11" s="21" t="str">
        <x:v>Storage</x:v>
      </x:c>
      <x:c r="B11" s="21" t="str">
        <x:v>Lockable tool/material storage</x:v>
      </x:c>
      <x:c r="C11" s="21" t="str">
        <x:v>School-scale</x:v>
      </x:c>
      <x:c r="D11" s="21" t="n">
        <x:v>1</x:v>
      </x:c>
      <x:c r="E11" s="21" t="str">
        <x:v>unit</x:v>
      </x:c>
      <x:c r="F11" s="28" t="str"/>
      <x:c r="G11" s="28" t="n">
        <x:f>D11*F11</x:f>
        <x:v>0</x:v>
      </x:c>
      <x:c r="H11" s="28" t="n">
        <x:f>IF('Package Inputs'!$B$4="STARTER",0.25,IF('Package Inputs'!$B$4="STANDARD",1,IF('Package Inputs'!$B$4="ADVANCED",2.5,1.5)))</x:f>
        <x:v>1</x:v>
      </x:c>
      <x:c r="I11" s="28" t="n">
        <x:f>D11*H11</x:f>
        <x:v>1</x:v>
      </x:c>
      <x:c r="J11" s="28" t="n">
        <x:f>I11*F11</x:f>
        <x:v>0</x:v>
      </x:c>
    </x:row>
    <x:row r="12">
      <x:c r="A12" s="21" t="str">
        <x:v>Measurement</x:v>
      </x:c>
      <x:c r="B12" s="21" t="str">
        <x:v>Basic measurement kit</x:v>
      </x:c>
      <x:c r="C12" s="21" t="str">
        <x:v>Rulers, jugs, scales, thermometers as required</x:v>
      </x:c>
      <x:c r="D12" s="21" t="n">
        <x:v>1</x:v>
      </x:c>
      <x:c r="E12" s="21" t="str">
        <x:v>kit</x:v>
      </x:c>
      <x:c r="F12" s="28" t="str"/>
      <x:c r="G12" s="28" t="n">
        <x:f>D12*F12</x:f>
        <x:v>0</x:v>
      </x:c>
      <x:c r="H12" s="28" t="n">
        <x:f>IF('Package Inputs'!$B$4="STARTER",0.25,IF('Package Inputs'!$B$4="STANDARD",1,IF('Package Inputs'!$B$4="ADVANCED",2.5,1.5)))</x:f>
        <x:v>1</x:v>
      </x:c>
      <x:c r="I12" s="28" t="n">
        <x:f>D12*H12</x:f>
        <x:v>1</x:v>
      </x:c>
      <x:c r="J12" s="28" t="n">
        <x:f>I12*F12</x:f>
        <x:v>0</x:v>
      </x:c>
    </x:row>
    <x:row r="13">
      <x:c r="A13" s="21" t="str">
        <x:v>Measurement</x:v>
      </x:c>
      <x:c r="B13" s="21" t="str">
        <x:v>Advanced data kit</x:v>
      </x:c>
      <x:c r="C13" s="21" t="str">
        <x:v>Meters/sensors where package requires</x:v>
      </x:c>
      <x:c r="D13" s="21" t="n">
        <x:v>1</x:v>
      </x:c>
      <x:c r="E13" s="21" t="str">
        <x:v>kit</x:v>
      </x:c>
      <x:c r="F13" s="28" t="str"/>
      <x:c r="G13" s="28" t="n">
        <x:f>D13*F13</x:f>
        <x:v>0</x:v>
      </x:c>
      <x:c r="H13" s="28" t="n">
        <x:f>IF('Package Inputs'!$B$4="STARTER",0.25,IF('Package Inputs'!$B$4="STANDARD",1,IF('Package Inputs'!$B$4="ADVANCED",2.5,1.5)))</x:f>
        <x:v>1</x:v>
      </x:c>
      <x:c r="I13" s="28" t="n">
        <x:f>D13*H13</x:f>
        <x:v>1</x:v>
      </x:c>
      <x:c r="J13" s="28" t="n">
        <x:f>I13*F13</x:f>
        <x:v>0</x:v>
      </x:c>
    </x:row>
    <x:row r="14">
      <x:c r="A14" s="21" t="str">
        <x:v>Learning Resources</x:v>
      </x:c>
      <x:c r="B14" s="21" t="str">
        <x:v>Student resource set</x:v>
      </x:c>
      <x:c r="C14" s="21" t="str">
        <x:v>Journals/cards/passports</x:v>
      </x:c>
      <x:c r="D14" s="21" t="n">
        <x:v>1</x:v>
      </x:c>
      <x:c r="E14" s="21" t="str">
        <x:v>lot</x:v>
      </x:c>
      <x:c r="F14" s="28" t="str"/>
      <x:c r="G14" s="28" t="n">
        <x:f>D14*F14</x:f>
        <x:v>0</x:v>
      </x:c>
      <x:c r="H14" s="28" t="n">
        <x:f>IF('Package Inputs'!$B$4="STARTER",0.25,IF('Package Inputs'!$B$4="STANDARD",1,IF('Package Inputs'!$B$4="ADVANCED",2.5,1.5)))</x:f>
        <x:v>1</x:v>
      </x:c>
      <x:c r="I14" s="28" t="n">
        <x:f>D14*H14</x:f>
        <x:v>1</x:v>
      </x:c>
      <x:c r="J14" s="28" t="n">
        <x:f>I14*F14</x:f>
        <x:v>0</x:v>
      </x:c>
    </x:row>
    <x:row r="15">
      <x:c r="A15" s="21" t="str">
        <x:v>Learning Resources</x:v>
      </x:c>
      <x:c r="B15" s="21" t="str">
        <x:v>Teacher resource set</x:v>
      </x:c>
      <x:c r="C15" s="21" t="str">
        <x:v>Manuals/cards/lesson plans</x:v>
      </x:c>
      <x:c r="D15" s="21" t="n">
        <x:v>1</x:v>
      </x:c>
      <x:c r="E15" s="21" t="str">
        <x:v>lot</x:v>
      </x:c>
      <x:c r="F15" s="28" t="str"/>
      <x:c r="G15" s="28" t="n">
        <x:f>D15*F15</x:f>
        <x:v>0</x:v>
      </x:c>
      <x:c r="H15" s="28" t="n">
        <x:f>IF('Package Inputs'!$B$4="STARTER",0.25,IF('Package Inputs'!$B$4="STANDARD",1,IF('Package Inputs'!$B$4="ADVANCED",2.5,1.5)))</x:f>
        <x:v>1</x:v>
      </x:c>
      <x:c r="I15" s="28" t="n">
        <x:f>D15*H15</x:f>
        <x:v>1</x:v>
      </x:c>
      <x:c r="J15" s="28" t="n">
        <x:f>I15*F15</x:f>
        <x:v>0</x:v>
      </x:c>
    </x:row>
    <x:row r="16">
      <x:c r="A16" s="21" t="str">
        <x:v>Signage</x:v>
      </x:c>
      <x:c r="B16" s="21" t="str">
        <x:v>Garden / learning signage</x:v>
      </x:c>
      <x:c r="C16" s="21" t="str">
        <x:v>Durable labels and system signs</x:v>
      </x:c>
      <x:c r="D16" s="21" t="n">
        <x:v>1</x:v>
      </x:c>
      <x:c r="E16" s="21" t="str">
        <x:v>lot</x:v>
      </x:c>
      <x:c r="F16" s="28" t="str"/>
      <x:c r="G16" s="28" t="n">
        <x:f>D16*F16</x:f>
        <x:v>0</x:v>
      </x:c>
      <x:c r="H16" s="28" t="n">
        <x:f>IF('Package Inputs'!$B$4="STARTER",0.25,IF('Package Inputs'!$B$4="STANDARD",1,IF('Package Inputs'!$B$4="ADVANCED",2.5,1.5)))</x:f>
        <x:v>1</x:v>
      </x:c>
      <x:c r="I16" s="28" t="n">
        <x:f>D16*H16</x:f>
        <x:v>1</x:v>
      </x:c>
      <x:c r="J16" s="28" t="n">
        <x:f>I16*F16</x:f>
        <x:v>0</x:v>
      </x:c>
    </x:row>
    <x:row r="17">
      <x:c r="A17" s="21" t="str">
        <x:v>Safety &amp; Hygiene</x:v>
      </x:c>
      <x:c r="B17" s="21" t="str">
        <x:v>PPE / hygiene / first-response supplies</x:v>
      </x:c>
      <x:c r="C17" s="21" t="str">
        <x:v>Per school policy</x:v>
      </x:c>
      <x:c r="D17" s="21" t="n">
        <x:v>1</x:v>
      </x:c>
      <x:c r="E17" s="21" t="str">
        <x:v>lot</x:v>
      </x:c>
      <x:c r="F17" s="28" t="str"/>
      <x:c r="G17" s="28" t="n">
        <x:f>D17*F17</x:f>
        <x:v>0</x:v>
      </x:c>
      <x:c r="H17" s="28" t="n">
        <x:f>IF('Package Inputs'!$B$4="STARTER",0.25,IF('Package Inputs'!$B$4="STANDARD",1,IF('Package Inputs'!$B$4="ADVANCED",2.5,1.5)))</x:f>
        <x:v>1</x:v>
      </x:c>
      <x:c r="I17" s="28" t="n">
        <x:f>D17*H17</x:f>
        <x:v>1</x:v>
      </x:c>
      <x:c r="J17" s="28" t="n">
        <x:f>I17*F17</x:f>
        <x:v>0</x:v>
      </x:c>
    </x:row>
    <x:row r="18">
      <x:c r="A18" s="21" t="str">
        <x:v>Training</x:v>
      </x:c>
      <x:c r="B18" s="21" t="str">
        <x:v>Teacher induction</x:v>
      </x:c>
      <x:c r="C18" s="21" t="str">
        <x:v>Initial training cohort</x:v>
      </x:c>
      <x:c r="D18" s="21" t="n">
        <x:v>1</x:v>
      </x:c>
      <x:c r="E18" s="21" t="str">
        <x:v>service</x:v>
      </x:c>
      <x:c r="F18" s="28" t="str"/>
      <x:c r="G18" s="28" t="n">
        <x:f>D18*F18</x:f>
        <x:v>0</x:v>
      </x:c>
      <x:c r="H18" s="28" t="n">
        <x:f>IF('Package Inputs'!$B$4="STARTER",0.25,IF('Package Inputs'!$B$4="STANDARD",1,IF('Package Inputs'!$B$4="ADVANCED",2.5,1.5)))</x:f>
        <x:v>1</x:v>
      </x:c>
      <x:c r="I18" s="28" t="n">
        <x:f>D18*H18</x:f>
        <x:v>1</x:v>
      </x:c>
      <x:c r="J18" s="28" t="n">
        <x:f>I18*F18</x:f>
        <x:v>0</x:v>
      </x:c>
    </x:row>
    <x:row r="19">
      <x:c r="A19" s="21" t="str">
        <x:v>Installation</x:v>
      </x:c>
      <x:c r="B19" s="21" t="str">
        <x:v>Commissioning materials</x:v>
      </x:c>
      <x:c r="C19" s="21" t="str">
        <x:v>Fasteners, connectors, finishing</x:v>
      </x:c>
      <x:c r="D19" s="21" t="n">
        <x:v>1</x:v>
      </x:c>
      <x:c r="E19" s="21" t="str">
        <x:v>lot</x:v>
      </x:c>
      <x:c r="F19" s="28" t="str"/>
      <x:c r="G19" s="28" t="n">
        <x:f>D19*F19</x:f>
        <x:v>0</x:v>
      </x:c>
      <x:c r="H19" s="28" t="n">
        <x:f>IF('Package Inputs'!$B$4="STARTER",0.25,IF('Package Inputs'!$B$4="STANDARD",1,IF('Package Inputs'!$B$4="ADVANCED",2.5,1.5)))</x:f>
        <x:v>1</x:v>
      </x:c>
      <x:c r="I19" s="28" t="n">
        <x:f>D19*H19</x:f>
        <x:v>1</x:v>
      </x:c>
      <x:c r="J19" s="28" t="n">
        <x:f>I19*F19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</x:cols>
  <x:sheetData>
    <x:row r="1">
      <x:c r="A1" s="5" t="str">
        <x:v>GrowMeal Package Budget Summary</x:v>
      </x:c>
      <x:c r="B1" s="5"/>
      <x:c r="C1" s="5"/>
      <x:c r="D1" s="5"/>
      <x:c r="E1" s="5"/>
      <x:c r="F1" s="5"/>
    </x:row>
    <x:row r="3">
      <x:c r="A3" s="13" t="str">
        <x:v>Metric</x:v>
      </x:c>
      <x:c r="B3" s="13" t="str">
        <x:v>Amount</x:v>
      </x:c>
    </x:row>
    <x:row r="4">
      <x:c r="A4" t="str">
        <x:v>BOM / Materials Subtotal</x:v>
      </x:c>
      <x:c r="B4" s="26" t="n">
        <x:f>SUM('BOM &amp; Budget'!J2:J19)</x:f>
        <x:v>0</x:v>
      </x:c>
    </x:row>
    <x:row r="5">
      <x:c r="A5" t="str">
        <x:v>Installation Labor</x:v>
      </x:c>
      <x:c r="B5" s="26" t="n">
        <x:f>B4*'Package Inputs'!B7</x:f>
        <x:v>0</x:v>
      </x:c>
    </x:row>
    <x:row r="6">
      <x:c r="A6" t="str">
        <x:v>Logistics</x:v>
      </x:c>
      <x:c r="B6" s="26" t="n">
        <x:f>B4*'Package Inputs'!B8</x:f>
        <x:v>0</x:v>
      </x:c>
    </x:row>
    <x:row r="7">
      <x:c r="A7" t="str">
        <x:v>Contingency</x:v>
      </x:c>
      <x:c r="B7" s="26" t="n">
        <x:f>(B4+B5+B6)*'Package Inputs'!B6</x:f>
        <x:v>0</x:v>
      </x:c>
    </x:row>
    <x:row r="8">
      <x:c r="A8" t="str">
        <x:v>Tax / Fees</x:v>
      </x:c>
      <x:c r="B8" s="26" t="n">
        <x:f>(B4+B5+B6+B7)*'Package Inputs'!B9</x:f>
        <x:v>0</x:v>
      </x:c>
    </x:row>
    <x:row r="9">
      <x:c r="A9" t="str">
        <x:v>Total Per School</x:v>
      </x:c>
      <x:c r="B9" s="26" t="n">
        <x:f>SUM(B4:B8)</x:f>
        <x:v>0</x:v>
      </x:c>
    </x:row>
    <x:row r="10">
      <x:c r="A10" t="str">
        <x:v>Number of Schools</x:v>
      </x:c>
      <x:c r="B10" s="26" t="n">
        <x:f>'Package Inputs'!B5</x:f>
        <x:v>1</x:v>
      </x:c>
    </x:row>
    <x:row r="11">
      <x:c r="A11" t="str">
        <x:v>Program Total</x:v>
      </x:c>
      <x:c r="B11" s="26" t="n">
        <x:f>B9*B10</x:f>
        <x:v>0</x:v>
      </x:c>
    </x:row>
    <x:row r="12">
      <x:c r="A12" t="str">
        <x:v>Annual Maintenance / OPEX</x:v>
      </x:c>
      <x:c r="B12" s="26" t="n">
        <x:f>B4*'Package Inputs'!B10</x:f>
        <x:v>0</x:v>
      </x:c>
    </x:row>
    <x:row r="13">
      <x:c r="A13" t="str">
        <x:v>Year 1 Total incl. OPEX</x:v>
      </x:c>
      <x:c r="B13" s="26" t="n">
        <x:f>B11+B12*B10</x:f>
        <x:v>0</x:v>
      </x:c>
    </x:row>
    <x:row r="14">
      <x:c r="A14" t="str">
        <x:v>Package Tier</x:v>
      </x:c>
      <x:c r="B14" t="str">
        <x:f>'Package Inputs'!B4</x:f>
        <x:v>STANDARD</x:v>
      </x:c>
    </x:row>
    <x:row r="15">
      <x:c r="A15" t="str">
        <x:v>Currency</x:v>
      </x:c>
      <x:c r="B15" t="str">
        <x:f>'Package Inputs'!B11</x:f>
        <x:v>NGN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412ab2f1fcf54395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  <x:col min="8" max="8" width="28" hidden="0" customWidth="1"/>
    <x:col min="9" max="9" width="34" hidden="0" customWidth="1"/>
  </x:cols>
  <x:sheetData>
    <x:row r="1">
      <x:c r="A1" s="13" t="str">
        <x:v>Phase</x:v>
      </x:c>
      <x:c r="B1" s="13" t="str">
        <x:v>Activity</x:v>
      </x:c>
      <x:c r="C1" s="13" t="str">
        <x:v>Owner</x:v>
      </x:c>
      <x:c r="D1" s="13" t="str">
        <x:v>Planned Start</x:v>
      </x:c>
      <x:c r="E1" s="13" t="str">
        <x:v>Planned Finish</x:v>
      </x:c>
      <x:c r="F1" s="13" t="str">
        <x:v>Status</x:v>
      </x:c>
      <x:c r="G1" s="13" t="str">
        <x:v>Budget Category</x:v>
      </x:c>
      <x:c r="H1" s="13" t="str">
        <x:v>Supplier / Contractor</x:v>
      </x:c>
      <x:c r="I1" s="13" t="str">
        <x:v>Notes</x:v>
      </x:c>
    </x:row>
    <x:row r="2">
      <x:c r="A2" s="21" t="str">
        <x:v>1</x:v>
      </x:c>
      <x:c r="B2" s="21" t="str">
        <x:v>Site survey &amp; package confirmation</x:v>
      </x:c>
      <x:c r="C2" s="21" t="str"/>
      <x:c r="D2" s="21" t="str"/>
      <x:c r="E2" s="21" t="str"/>
      <x:c r="F2" s="21" t="str">
        <x:v>Not Started</x:v>
      </x:c>
      <x:c r="G2" s="21" t="str">
        <x:v>Planning</x:v>
      </x:c>
      <x:c r="H2" s="21" t="str"/>
      <x:c r="I2" s="21" t="str"/>
    </x:row>
    <x:row r="3">
      <x:c r="A3" s="21" t="str">
        <x:v>2</x:v>
      </x:c>
      <x:c r="B3" s="21" t="str">
        <x:v>BOM finalization &amp; quotations</x:v>
      </x:c>
      <x:c r="C3" s="21" t="str"/>
      <x:c r="D3" s="21" t="str"/>
      <x:c r="E3" s="21" t="str"/>
      <x:c r="F3" s="21" t="str">
        <x:v>Not Started</x:v>
      </x:c>
      <x:c r="G3" s="21" t="str">
        <x:v>Planning</x:v>
      </x:c>
      <x:c r="H3" s="21" t="str"/>
      <x:c r="I3" s="21" t="str"/>
    </x:row>
    <x:row r="4">
      <x:c r="A4" s="21" t="str">
        <x:v>2</x:v>
      </x:c>
      <x:c r="B4" s="21" t="str">
        <x:v>Supplier evaluation &amp; approval</x:v>
      </x:c>
      <x:c r="C4" s="21" t="str"/>
      <x:c r="D4" s="21" t="str"/>
      <x:c r="E4" s="21" t="str"/>
      <x:c r="F4" s="21" t="str">
        <x:v>Not Started</x:v>
      </x:c>
      <x:c r="G4" s="21" t="str">
        <x:v>Procurement</x:v>
      </x:c>
      <x:c r="H4" s="21" t="str"/>
      <x:c r="I4" s="21" t="str"/>
    </x:row>
    <x:row r="5">
      <x:c r="A5" s="21" t="str">
        <x:v>2</x:v>
      </x:c>
      <x:c r="B5" s="21" t="str">
        <x:v>Fabrication / material procurement</x:v>
      </x:c>
      <x:c r="C5" s="21" t="str"/>
      <x:c r="D5" s="21" t="str"/>
      <x:c r="E5" s="21" t="str"/>
      <x:c r="F5" s="21" t="str">
        <x:v>Not Started</x:v>
      </x:c>
      <x:c r="G5" s="21" t="str">
        <x:v>Structures</x:v>
      </x:c>
      <x:c r="H5" s="21" t="str"/>
      <x:c r="I5" s="21" t="str"/>
    </x:row>
    <x:row r="6">
      <x:c r="A6" s="21" t="str">
        <x:v>3</x:v>
      </x:c>
      <x:c r="B6" s="21" t="str">
        <x:v>Delivery &amp; receiving inspection</x:v>
      </x:c>
      <x:c r="C6" s="21" t="str"/>
      <x:c r="D6" s="21" t="str"/>
      <x:c r="E6" s="21" t="str"/>
      <x:c r="F6" s="21" t="str">
        <x:v>Not Started</x:v>
      </x:c>
      <x:c r="G6" s="21" t="str">
        <x:v>Logistics</x:v>
      </x:c>
      <x:c r="H6" s="21" t="str"/>
      <x:c r="I6" s="21" t="str"/>
    </x:row>
    <x:row r="7">
      <x:c r="A7" s="21" t="str">
        <x:v>3</x:v>
      </x:c>
      <x:c r="B7" s="21" t="str">
        <x:v>Site preparation</x:v>
      </x:c>
      <x:c r="C7" s="21" t="str"/>
      <x:c r="D7" s="21" t="str"/>
      <x:c r="E7" s="21" t="str"/>
      <x:c r="F7" s="21" t="str">
        <x:v>Not Started</x:v>
      </x:c>
      <x:c r="G7" s="21" t="str">
        <x:v>Site Preparation</x:v>
      </x:c>
      <x:c r="H7" s="21" t="str"/>
      <x:c r="I7" s="21" t="str"/>
    </x:row>
    <x:row r="8">
      <x:c r="A8" s="21" t="str">
        <x:v>3</x:v>
      </x:c>
      <x:c r="B8" s="21" t="str">
        <x:v>Garden / irrigation installation</x:v>
      </x:c>
      <x:c r="C8" s="21" t="str"/>
      <x:c r="D8" s="21" t="str"/>
      <x:c r="E8" s="21" t="str"/>
      <x:c r="F8" s="21" t="str">
        <x:v>Not Started</x:v>
      </x:c>
      <x:c r="G8" s="21" t="str">
        <x:v>Installation</x:v>
      </x:c>
      <x:c r="H8" s="21" t="str"/>
      <x:c r="I8" s="21" t="str"/>
    </x:row>
    <x:row r="9">
      <x:c r="A9" s="21" t="str">
        <x:v>4</x:v>
      </x:c>
      <x:c r="B9" s="21" t="str">
        <x:v>Commissioning &amp; defect correction</x:v>
      </x:c>
      <x:c r="C9" s="21" t="str"/>
      <x:c r="D9" s="21" t="str"/>
      <x:c r="E9" s="21" t="str"/>
      <x:c r="F9" s="21" t="str">
        <x:v>Not Started</x:v>
      </x:c>
      <x:c r="G9" s="21" t="str">
        <x:v>Installation</x:v>
      </x:c>
      <x:c r="H9" s="21" t="str"/>
      <x:c r="I9" s="21" t="str"/>
    </x:row>
    <x:row r="10">
      <x:c r="A10" s="21" t="str">
        <x:v>4</x:v>
      </x:c>
      <x:c r="B10" s="21" t="str">
        <x:v>Teacher orientation / training</x:v>
      </x:c>
      <x:c r="C10" s="21" t="str"/>
      <x:c r="D10" s="21" t="str"/>
      <x:c r="E10" s="21" t="str"/>
      <x:c r="F10" s="21" t="str">
        <x:v>Not Started</x:v>
      </x:c>
      <x:c r="G10" s="21" t="str">
        <x:v>Training</x:v>
      </x:c>
      <x:c r="H10" s="21" t="str"/>
      <x:c r="I10" s="21" t="str"/>
    </x:row>
    <x:row r="11">
      <x:c r="A11" s="21" t="str">
        <x:v>5</x:v>
      </x:c>
      <x:c r="B11" s="21" t="str">
        <x:v>12-week implementation launch</x:v>
      </x:c>
      <x:c r="C11" s="21" t="str"/>
      <x:c r="D11" s="21" t="str"/>
      <x:c r="E11" s="21" t="str"/>
      <x:c r="F11" s="21" t="str">
        <x:v>Not Started</x:v>
      </x:c>
      <x:c r="G11" s="21" t="str">
        <x:v>Program</x:v>
      </x:c>
      <x:c r="H11" s="21" t="str"/>
      <x:c r="I11" s="21" t="str"/>
    </x:row>
    <x:row r="12">
      <x:c r="A12" s="21" t="str">
        <x:v>6</x:v>
      </x:c>
      <x:c r="B12" s="21" t="str">
        <x:v>Term review &amp; replenishment</x:v>
      </x:c>
      <x:c r="C12" s="21" t="str"/>
      <x:c r="D12" s="21" t="str"/>
      <x:c r="E12" s="21" t="str"/>
      <x:c r="F12" s="21" t="str">
        <x:v>Not Started</x:v>
      </x:c>
      <x:c r="G12" s="21" t="str">
        <x:v>OPEX</x:v>
      </x:c>
      <x:c r="H12" s="21" t="str"/>
      <x:c r="I12" s="21" t="str"/>
    </x:row>
  </x:sheetData>
  <x:dataValidations count="1">
    <x:dataValidation type="list" sqref="F2:F12">
      <x:formula1>"Not Started,In Progress,Complete,Blocked"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6" hidden="0" customWidth="1"/>
    <x:col min="4" max="4" width="24" hidden="0" customWidth="1"/>
    <x:col min="5" max="5" width="18" hidden="0" customWidth="1"/>
    <x:col min="6" max="6" width="22" hidden="0" customWidth="1"/>
    <x:col min="7" max="7" width="18" hidden="0" customWidth="1"/>
    <x:col min="8" max="8" width="20" hidden="0" customWidth="1"/>
    <x:col min="9" max="9" width="16" hidden="0" customWidth="1"/>
    <x:col min="10" max="10" width="34" hidden="0" customWidth="1"/>
  </x:cols>
  <x:sheetData>
    <x:row r="1">
      <x:c r="A1" s="13" t="str">
        <x:v>Item / Lot</x:v>
      </x:c>
      <x:c r="B1" s="13" t="str">
        <x:v>Supplier</x:v>
      </x:c>
      <x:c r="C1" s="13" t="str">
        <x:v>Quoted Price</x:v>
      </x:c>
      <x:c r="D1" s="13" t="str">
        <x:v>Specification Compliance</x:v>
      </x:c>
      <x:c r="E1" s="13" t="str">
        <x:v>Delivery</x:v>
      </x:c>
      <x:c r="F1" s="13" t="str">
        <x:v>Warranty / Support</x:v>
      </x:c>
      <x:c r="G1" s="13" t="str">
        <x:v>Repairability</x:v>
      </x:c>
      <x:c r="H1" s="13" t="str">
        <x:v>Evaluation Score 0-100</x:v>
      </x:c>
      <x:c r="I1" s="13" t="str">
        <x:v>Recommended</x:v>
      </x:c>
      <x:c r="J1" s="13" t="str">
        <x:v>Notes</x:v>
      </x:c>
    </x:row>
    <x:row r="2">
      <x:c r="A2" s="21"/>
      <x:c r="B2" s="21"/>
      <x:c r="C2" s="28"/>
      <x:c r="D2" s="21"/>
      <x:c r="E2" s="21"/>
      <x:c r="F2" s="21"/>
      <x:c r="G2" s="21"/>
      <x:c r="H2" s="21"/>
      <x:c r="I2" s="21"/>
      <x:c r="J2" s="21"/>
    </x:row>
    <x:row r="3">
      <x:c r="A3" s="21"/>
      <x:c r="B3" s="21"/>
      <x:c r="C3" s="28"/>
      <x:c r="D3" s="21"/>
      <x:c r="E3" s="21"/>
      <x:c r="F3" s="21"/>
      <x:c r="G3" s="21"/>
      <x:c r="H3" s="21"/>
      <x:c r="I3" s="21"/>
      <x:c r="J3" s="21"/>
    </x:row>
    <x:row r="4">
      <x:c r="A4" s="21"/>
      <x:c r="B4" s="21"/>
      <x:c r="C4" s="28"/>
      <x:c r="D4" s="21"/>
      <x:c r="E4" s="21"/>
      <x:c r="F4" s="21"/>
      <x:c r="G4" s="21"/>
      <x:c r="H4" s="21"/>
      <x:c r="I4" s="21"/>
      <x:c r="J4" s="21"/>
    </x:row>
    <x:row r="5">
      <x:c r="A5" s="21"/>
      <x:c r="B5" s="21"/>
      <x:c r="C5" s="28"/>
      <x:c r="D5" s="21"/>
      <x:c r="E5" s="21"/>
      <x:c r="F5" s="21"/>
      <x:c r="G5" s="21"/>
      <x:c r="H5" s="21"/>
      <x:c r="I5" s="21"/>
      <x:c r="J5" s="21"/>
    </x:row>
    <x:row r="6">
      <x:c r="A6" s="21"/>
      <x:c r="B6" s="21"/>
      <x:c r="C6" s="28"/>
      <x:c r="D6" s="21"/>
      <x:c r="E6" s="21"/>
      <x:c r="F6" s="21"/>
      <x:c r="G6" s="21"/>
      <x:c r="H6" s="21"/>
      <x:c r="I6" s="21"/>
      <x:c r="J6" s="21"/>
    </x:row>
    <x:row r="7">
      <x:c r="A7" s="21"/>
      <x:c r="B7" s="21"/>
      <x:c r="C7" s="28"/>
      <x:c r="D7" s="21"/>
      <x:c r="E7" s="21"/>
      <x:c r="F7" s="21"/>
      <x:c r="G7" s="21"/>
      <x:c r="H7" s="21"/>
      <x:c r="I7" s="21"/>
      <x:c r="J7" s="21"/>
    </x:row>
    <x:row r="8">
      <x:c r="A8" s="21"/>
      <x:c r="B8" s="21"/>
      <x:c r="C8" s="28"/>
      <x:c r="D8" s="21"/>
      <x:c r="E8" s="21"/>
      <x:c r="F8" s="21"/>
      <x:c r="G8" s="21"/>
      <x:c r="H8" s="21"/>
      <x:c r="I8" s="21"/>
      <x:c r="J8" s="21"/>
    </x:row>
    <x:row r="9">
      <x:c r="A9" s="21"/>
      <x:c r="B9" s="21"/>
      <x:c r="C9" s="28"/>
      <x:c r="D9" s="21"/>
      <x:c r="E9" s="21"/>
      <x:c r="F9" s="21"/>
      <x:c r="G9" s="21"/>
      <x:c r="H9" s="21"/>
      <x:c r="I9" s="21"/>
      <x:c r="J9" s="21"/>
    </x:row>
    <x:row r="10">
      <x:c r="A10" s="21"/>
      <x:c r="B10" s="21"/>
      <x:c r="C10" s="28"/>
      <x:c r="D10" s="21"/>
      <x:c r="E10" s="21"/>
      <x:c r="F10" s="21"/>
      <x:c r="G10" s="21"/>
      <x:c r="H10" s="21"/>
      <x:c r="I10" s="21"/>
      <x:c r="J10" s="21"/>
    </x:row>
    <x:row r="11">
      <x:c r="A11" s="21"/>
      <x:c r="B11" s="21"/>
      <x:c r="C11" s="28"/>
      <x:c r="D11" s="21"/>
      <x:c r="E11" s="21"/>
      <x:c r="F11" s="21"/>
      <x:c r="G11" s="21"/>
      <x:c r="H11" s="21"/>
      <x:c r="I11" s="21"/>
      <x:c r="J11" s="21"/>
    </x:row>
    <x:row r="12">
      <x:c r="A12" s="21"/>
      <x:c r="B12" s="21"/>
      <x:c r="C12" s="28"/>
      <x:c r="D12" s="21"/>
      <x:c r="E12" s="21"/>
      <x:c r="F12" s="21"/>
      <x:c r="G12" s="21"/>
      <x:c r="H12" s="21"/>
      <x:c r="I12" s="21"/>
      <x:c r="J12" s="21"/>
    </x:row>
    <x:row r="13">
      <x:c r="A13" s="21"/>
      <x:c r="B13" s="21"/>
      <x:c r="C13" s="28"/>
      <x:c r="D13" s="21"/>
      <x:c r="E13" s="21"/>
      <x:c r="F13" s="21"/>
      <x:c r="G13" s="21"/>
      <x:c r="H13" s="21"/>
      <x:c r="I13" s="21"/>
      <x:c r="J13" s="21"/>
    </x:row>
    <x:row r="14">
      <x:c r="A14" s="21"/>
      <x:c r="B14" s="21"/>
      <x:c r="C14" s="28"/>
      <x:c r="D14" s="21"/>
      <x:c r="E14" s="21"/>
      <x:c r="F14" s="21"/>
      <x:c r="G14" s="21"/>
      <x:c r="H14" s="21"/>
      <x:c r="I14" s="21"/>
      <x:c r="J14" s="21"/>
    </x:row>
    <x:row r="15">
      <x:c r="A15" s="21"/>
      <x:c r="B15" s="21"/>
      <x:c r="C15" s="28"/>
      <x:c r="D15" s="21"/>
      <x:c r="E15" s="21"/>
      <x:c r="F15" s="21"/>
      <x:c r="G15" s="21"/>
      <x:c r="H15" s="21"/>
      <x:c r="I15" s="21"/>
      <x:c r="J15" s="21"/>
    </x:row>
    <x:row r="16">
      <x:c r="A16" s="21"/>
      <x:c r="B16" s="21"/>
      <x:c r="C16" s="28"/>
      <x:c r="D16" s="21"/>
      <x:c r="E16" s="21"/>
      <x:c r="F16" s="21"/>
      <x:c r="G16" s="21"/>
      <x:c r="H16" s="21"/>
      <x:c r="I16" s="21"/>
      <x:c r="J16" s="21"/>
    </x:row>
    <x:row r="17">
      <x:c r="A17" s="21"/>
      <x:c r="B17" s="21"/>
      <x:c r="C17" s="28"/>
      <x:c r="D17" s="21"/>
      <x:c r="E17" s="21"/>
      <x:c r="F17" s="21"/>
      <x:c r="G17" s="21"/>
      <x:c r="H17" s="21"/>
      <x:c r="I17" s="21"/>
      <x:c r="J17" s="21"/>
    </x:row>
    <x:row r="18">
      <x:c r="A18" s="21"/>
      <x:c r="B18" s="21"/>
      <x:c r="C18" s="28"/>
      <x:c r="D18" s="21"/>
      <x:c r="E18" s="21"/>
      <x:c r="F18" s="21"/>
      <x:c r="G18" s="21"/>
      <x:c r="H18" s="21"/>
      <x:c r="I18" s="21"/>
      <x:c r="J18" s="21"/>
    </x:row>
    <x:row r="19">
      <x:c r="A19" s="21"/>
      <x:c r="B19" s="21"/>
      <x:c r="C19" s="28"/>
      <x:c r="D19" s="21"/>
      <x:c r="E19" s="21"/>
      <x:c r="F19" s="21"/>
      <x:c r="G19" s="21"/>
      <x:c r="H19" s="21"/>
      <x:c r="I19" s="21"/>
      <x:c r="J19" s="21"/>
    </x:row>
    <x:row r="20">
      <x:c r="A20" s="21"/>
      <x:c r="B20" s="21"/>
      <x:c r="C20" s="28"/>
      <x:c r="D20" s="21"/>
      <x:c r="E20" s="21"/>
      <x:c r="F20" s="21"/>
      <x:c r="G20" s="21"/>
      <x:c r="H20" s="21"/>
      <x:c r="I20" s="21"/>
      <x:c r="J20" s="21"/>
    </x:row>
    <x:row r="21">
      <x:c r="A21" s="21"/>
      <x:c r="B21" s="21"/>
      <x:c r="C21" s="28"/>
      <x:c r="D21" s="21"/>
      <x:c r="E21" s="21"/>
      <x:c r="F21" s="21"/>
      <x:c r="G21" s="21"/>
      <x:c r="H21" s="21"/>
      <x:c r="I21" s="21"/>
      <x:c r="J21" s="21"/>
    </x:row>
    <x:row r="22">
      <x:c r="A22" s="21"/>
      <x:c r="B22" s="21"/>
      <x:c r="C22" s="28"/>
      <x:c r="D22" s="21"/>
      <x:c r="E22" s="21"/>
      <x:c r="F22" s="21"/>
      <x:c r="G22" s="21"/>
      <x:c r="H22" s="21"/>
      <x:c r="I22" s="21"/>
      <x:c r="J22" s="21"/>
    </x:row>
    <x:row r="23">
      <x:c r="A23" s="21"/>
      <x:c r="B23" s="21"/>
      <x:c r="C23" s="28"/>
      <x:c r="D23" s="21"/>
      <x:c r="E23" s="21"/>
      <x:c r="F23" s="21"/>
      <x:c r="G23" s="21"/>
      <x:c r="H23" s="21"/>
      <x:c r="I23" s="21"/>
      <x:c r="J23" s="21"/>
    </x:row>
    <x:row r="24">
      <x:c r="A24" s="21"/>
      <x:c r="B24" s="21"/>
      <x:c r="C24" s="28"/>
      <x:c r="D24" s="21"/>
      <x:c r="E24" s="21"/>
      <x:c r="F24" s="21"/>
      <x:c r="G24" s="21"/>
      <x:c r="H24" s="21"/>
      <x:c r="I24" s="21"/>
      <x:c r="J24" s="21"/>
    </x:row>
    <x:row r="25">
      <x:c r="A25" s="21"/>
      <x:c r="B25" s="21"/>
      <x:c r="C25" s="28"/>
      <x:c r="D25" s="21"/>
      <x:c r="E25" s="21"/>
      <x:c r="F25" s="21"/>
      <x:c r="G25" s="21"/>
      <x:c r="H25" s="21"/>
      <x:c r="I25" s="21"/>
      <x:c r="J25" s="21"/>
    </x:row>
    <x:row r="26">
      <x:c r="A26" s="21"/>
      <x:c r="B26" s="21"/>
      <x:c r="C26" s="28"/>
      <x:c r="D26" s="21"/>
      <x:c r="E26" s="21"/>
      <x:c r="F26" s="21"/>
      <x:c r="G26" s="21"/>
      <x:c r="H26" s="21"/>
      <x:c r="I26" s="21"/>
      <x:c r="J26" s="21"/>
    </x:row>
    <x:row r="27">
      <x:c r="A27" s="21"/>
      <x:c r="B27" s="21"/>
      <x:c r="C27" s="28"/>
      <x:c r="D27" s="21"/>
      <x:c r="E27" s="21"/>
      <x:c r="F27" s="21"/>
      <x:c r="G27" s="21"/>
      <x:c r="H27" s="21"/>
      <x:c r="I27" s="21"/>
      <x:c r="J27" s="21"/>
    </x:row>
    <x:row r="28">
      <x:c r="A28" s="21"/>
      <x:c r="B28" s="21"/>
      <x:c r="C28" s="28"/>
      <x:c r="D28" s="21"/>
      <x:c r="E28" s="21"/>
      <x:c r="F28" s="21"/>
      <x:c r="G28" s="21"/>
      <x:c r="H28" s="21"/>
      <x:c r="I28" s="21"/>
      <x:c r="J28" s="21"/>
    </x:row>
    <x:row r="29">
      <x:c r="A29" s="21"/>
      <x:c r="B29" s="21"/>
      <x:c r="C29" s="28"/>
      <x:c r="D29" s="21"/>
      <x:c r="E29" s="21"/>
      <x:c r="F29" s="21"/>
      <x:c r="G29" s="21"/>
      <x:c r="H29" s="21"/>
      <x:c r="I29" s="21"/>
      <x:c r="J29" s="21"/>
    </x:row>
    <x:row r="30">
      <x:c r="A30" s="21"/>
      <x:c r="B30" s="21"/>
      <x:c r="C30" s="28"/>
      <x:c r="D30" s="21"/>
      <x:c r="E30" s="21"/>
      <x:c r="F30" s="21"/>
      <x:c r="G30" s="21"/>
      <x:c r="H30" s="21"/>
      <x:c r="I30" s="21"/>
      <x:c r="J30" s="21"/>
    </x:row>
    <x:row r="31">
      <x:c r="A31" s="21"/>
      <x:c r="B31" s="21"/>
      <x:c r="C31" s="28"/>
      <x:c r="D31" s="21"/>
      <x:c r="E31" s="21"/>
      <x:c r="F31" s="21"/>
      <x:c r="G31" s="21"/>
      <x:c r="H31" s="21"/>
      <x:c r="I31" s="21"/>
      <x:c r="J31" s="21"/>
    </x:row>
  </x:sheetData>
  <x:dataValidations count="60">
    <x:dataValidation type="list" sqref="D2:G2">
      <x:formula1>"Poor,Fair,Good,Very Good,Excellent"</x:formula1>
    </x:dataValidation>
    <x:dataValidation type="list" sqref="I2">
      <x:formula1>"Yes,No,Pending"</x:formula1>
    </x:dataValidation>
    <x:dataValidation type="list" sqref="D3:G3">
      <x:formula1>"Poor,Fair,Good,Very Good,Excellent"</x:formula1>
    </x:dataValidation>
    <x:dataValidation type="list" sqref="I3">
      <x:formula1>"Yes,No,Pending"</x:formula1>
    </x:dataValidation>
    <x:dataValidation type="list" sqref="D4:G4">
      <x:formula1>"Poor,Fair,Good,Very Good,Excellent"</x:formula1>
    </x:dataValidation>
    <x:dataValidation type="list" sqref="I4">
      <x:formula1>"Yes,No,Pending"</x:formula1>
    </x:dataValidation>
    <x:dataValidation type="list" sqref="D5:G5">
      <x:formula1>"Poor,Fair,Good,Very Good,Excellent"</x:formula1>
    </x:dataValidation>
    <x:dataValidation type="list" sqref="I5">
      <x:formula1>"Yes,No,Pending"</x:formula1>
    </x:dataValidation>
    <x:dataValidation type="list" sqref="D6:G6">
      <x:formula1>"Poor,Fair,Good,Very Good,Excellent"</x:formula1>
    </x:dataValidation>
    <x:dataValidation type="list" sqref="I6">
      <x:formula1>"Yes,No,Pending"</x:formula1>
    </x:dataValidation>
    <x:dataValidation type="list" sqref="D7:G7">
      <x:formula1>"Poor,Fair,Good,Very Good,Excellent"</x:formula1>
    </x:dataValidation>
    <x:dataValidation type="list" sqref="I7">
      <x:formula1>"Yes,No,Pending"</x:formula1>
    </x:dataValidation>
    <x:dataValidation type="list" sqref="D8:G8">
      <x:formula1>"Poor,Fair,Good,Very Good,Excellent"</x:formula1>
    </x:dataValidation>
    <x:dataValidation type="list" sqref="I8">
      <x:formula1>"Yes,No,Pending"</x:formula1>
    </x:dataValidation>
    <x:dataValidation type="list" sqref="D9:G9">
      <x:formula1>"Poor,Fair,Good,Very Good,Excellent"</x:formula1>
    </x:dataValidation>
    <x:dataValidation type="list" sqref="I9">
      <x:formula1>"Yes,No,Pending"</x:formula1>
    </x:dataValidation>
    <x:dataValidation type="list" sqref="D10:G10">
      <x:formula1>"Poor,Fair,Good,Very Good,Excellent"</x:formula1>
    </x:dataValidation>
    <x:dataValidation type="list" sqref="I10">
      <x:formula1>"Yes,No,Pending"</x:formula1>
    </x:dataValidation>
    <x:dataValidation type="list" sqref="D11:G11">
      <x:formula1>"Poor,Fair,Good,Very Good,Excellent"</x:formula1>
    </x:dataValidation>
    <x:dataValidation type="list" sqref="I11">
      <x:formula1>"Yes,No,Pending"</x:formula1>
    </x:dataValidation>
    <x:dataValidation type="list" sqref="D12:G12">
      <x:formula1>"Poor,Fair,Good,Very Good,Excellent"</x:formula1>
    </x:dataValidation>
    <x:dataValidation type="list" sqref="I12">
      <x:formula1>"Yes,No,Pending"</x:formula1>
    </x:dataValidation>
    <x:dataValidation type="list" sqref="D13:G13">
      <x:formula1>"Poor,Fair,Good,Very Good,Excellent"</x:formula1>
    </x:dataValidation>
    <x:dataValidation type="list" sqref="I13">
      <x:formula1>"Yes,No,Pending"</x:formula1>
    </x:dataValidation>
    <x:dataValidation type="list" sqref="D14:G14">
      <x:formula1>"Poor,Fair,Good,Very Good,Excellent"</x:formula1>
    </x:dataValidation>
    <x:dataValidation type="list" sqref="I14">
      <x:formula1>"Yes,No,Pending"</x:formula1>
    </x:dataValidation>
    <x:dataValidation type="list" sqref="D15:G15">
      <x:formula1>"Poor,Fair,Good,Very Good,Excellent"</x:formula1>
    </x:dataValidation>
    <x:dataValidation type="list" sqref="I15">
      <x:formula1>"Yes,No,Pending"</x:formula1>
    </x:dataValidation>
    <x:dataValidation type="list" sqref="D16:G16">
      <x:formula1>"Poor,Fair,Good,Very Good,Excellent"</x:formula1>
    </x:dataValidation>
    <x:dataValidation type="list" sqref="I16">
      <x:formula1>"Yes,No,Pending"</x:formula1>
    </x:dataValidation>
    <x:dataValidation type="list" sqref="D17:G17">
      <x:formula1>"Poor,Fair,Good,Very Good,Excellent"</x:formula1>
    </x:dataValidation>
    <x:dataValidation type="list" sqref="I17">
      <x:formula1>"Yes,No,Pending"</x:formula1>
    </x:dataValidation>
    <x:dataValidation type="list" sqref="D18:G18">
      <x:formula1>"Poor,Fair,Good,Very Good,Excellent"</x:formula1>
    </x:dataValidation>
    <x:dataValidation type="list" sqref="I18">
      <x:formula1>"Yes,No,Pending"</x:formula1>
    </x:dataValidation>
    <x:dataValidation type="list" sqref="D19:G19">
      <x:formula1>"Poor,Fair,Good,Very Good,Excellent"</x:formula1>
    </x:dataValidation>
    <x:dataValidation type="list" sqref="I19">
      <x:formula1>"Yes,No,Pending"</x:formula1>
    </x:dataValidation>
    <x:dataValidation type="list" sqref="D20:G20">
      <x:formula1>"Poor,Fair,Good,Very Good,Excellent"</x:formula1>
    </x:dataValidation>
    <x:dataValidation type="list" sqref="I20">
      <x:formula1>"Yes,No,Pending"</x:formula1>
    </x:dataValidation>
    <x:dataValidation type="list" sqref="D21:G21">
      <x:formula1>"Poor,Fair,Good,Very Good,Excellent"</x:formula1>
    </x:dataValidation>
    <x:dataValidation type="list" sqref="I21">
      <x:formula1>"Yes,No,Pending"</x:formula1>
    </x:dataValidation>
    <x:dataValidation type="list" sqref="D22:G22">
      <x:formula1>"Poor,Fair,Good,Very Good,Excellent"</x:formula1>
    </x:dataValidation>
    <x:dataValidation type="list" sqref="I22">
      <x:formula1>"Yes,No,Pending"</x:formula1>
    </x:dataValidation>
    <x:dataValidation type="list" sqref="D23:G23">
      <x:formula1>"Poor,Fair,Good,Very Good,Excellent"</x:formula1>
    </x:dataValidation>
    <x:dataValidation type="list" sqref="I23">
      <x:formula1>"Yes,No,Pending"</x:formula1>
    </x:dataValidation>
    <x:dataValidation type="list" sqref="D24:G24">
      <x:formula1>"Poor,Fair,Good,Very Good,Excellent"</x:formula1>
    </x:dataValidation>
    <x:dataValidation type="list" sqref="I24">
      <x:formula1>"Yes,No,Pending"</x:formula1>
    </x:dataValidation>
    <x:dataValidation type="list" sqref="D25:G25">
      <x:formula1>"Poor,Fair,Good,Very Good,Excellent"</x:formula1>
    </x:dataValidation>
    <x:dataValidation type="list" sqref="I25">
      <x:formula1>"Yes,No,Pending"</x:formula1>
    </x:dataValidation>
    <x:dataValidation type="list" sqref="D26:G26">
      <x:formula1>"Poor,Fair,Good,Very Good,Excellent"</x:formula1>
    </x:dataValidation>
    <x:dataValidation type="list" sqref="I26">
      <x:formula1>"Yes,No,Pending"</x:formula1>
    </x:dataValidation>
    <x:dataValidation type="list" sqref="D27:G27">
      <x:formula1>"Poor,Fair,Good,Very Good,Excellent"</x:formula1>
    </x:dataValidation>
    <x:dataValidation type="list" sqref="I27">
      <x:formula1>"Yes,No,Pending"</x:formula1>
    </x:dataValidation>
    <x:dataValidation type="list" sqref="D28:G28">
      <x:formula1>"Poor,Fair,Good,Very Good,Excellent"</x:formula1>
    </x:dataValidation>
    <x:dataValidation type="list" sqref="I28">
      <x:formula1>"Yes,No,Pending"</x:formula1>
    </x:dataValidation>
    <x:dataValidation type="list" sqref="D29:G29">
      <x:formula1>"Poor,Fair,Good,Very Good,Excellent"</x:formula1>
    </x:dataValidation>
    <x:dataValidation type="list" sqref="I29">
      <x:formula1>"Yes,No,Pending"</x:formula1>
    </x:dataValidation>
    <x:dataValidation type="list" sqref="D30:G30">
      <x:formula1>"Poor,Fair,Good,Very Good,Excellent"</x:formula1>
    </x:dataValidation>
    <x:dataValidation type="list" sqref="I30">
      <x:formula1>"Yes,No,Pending"</x:formula1>
    </x:dataValidation>
    <x:dataValidation type="list" sqref="D31:G31">
      <x:formula1>"Poor,Fair,Good,Very Good,Excellent"</x:formula1>
    </x:dataValidation>
    <x:dataValidation type="list" sqref="I31">
      <x:formula1>"Yes,No,Pending"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38" hidden="0" customWidth="1"/>
  </x:cols>
  <x:sheetData>
    <x:row r="1">
      <x:c r="A1" s="13" t="str">
        <x:v>Category</x:v>
      </x:c>
      <x:c r="B1" s="13" t="str">
        <x:v>Annual Qty</x:v>
      </x:c>
      <x:c r="C1" s="13" t="str">
        <x:v>Unit</x:v>
      </x:c>
      <x:c r="D1" s="13" t="str">
        <x:v>Unit Cost</x:v>
      </x:c>
      <x:c r="E1" s="13" t="str">
        <x:v>Annual Cost</x:v>
      </x:c>
      <x:c r="F1" s="13" t="str">
        <x:v>Notes</x:v>
      </x:c>
    </x:row>
    <x:row r="2">
      <x:c r="A2" s="21" t="str">
        <x:v>Seeds / seedlings</x:v>
      </x:c>
      <x:c r="B2" s="21" t="n">
        <x:v>1</x:v>
      </x:c>
      <x:c r="C2" s="21" t="str">
        <x:v>lot</x:v>
      </x:c>
      <x:c r="D2" s="28" t="str"/>
      <x:c r="E2" s="28" t="n">
        <x:f>B2*D2</x:f>
        <x:v>0</x:v>
      </x:c>
      <x:c r="F2" s="21" t="str"/>
    </x:row>
    <x:row r="3">
      <x:c r="A3" s="21" t="str">
        <x:v>Growing media / compost replenishment</x:v>
      </x:c>
      <x:c r="B3" s="21" t="n">
        <x:v>1</x:v>
      </x:c>
      <x:c r="C3" s="21" t="str">
        <x:v>lot</x:v>
      </x:c>
      <x:c r="D3" s="28" t="str"/>
      <x:c r="E3" s="28" t="n">
        <x:f>B3*D3</x:f>
        <x:v>0</x:v>
      </x:c>
      <x:c r="F3" s="21" t="str"/>
    </x:row>
    <x:row r="4">
      <x:c r="A4" s="21" t="str">
        <x:v>Irrigation fittings / repairs</x:v>
      </x:c>
      <x:c r="B4" s="21" t="n">
        <x:v>1</x:v>
      </x:c>
      <x:c r="C4" s="21" t="str">
        <x:v>lot</x:v>
      </x:c>
      <x:c r="D4" s="28" t="str"/>
      <x:c r="E4" s="28" t="n">
        <x:f>B4*D4</x:f>
        <x:v>0</x:v>
      </x:c>
      <x:c r="F4" s="21" t="str"/>
    </x:row>
    <x:row r="5">
      <x:c r="A5" s="21" t="str">
        <x:v>Tool repair / replacement</x:v>
      </x:c>
      <x:c r="B5" s="21" t="n">
        <x:v>1</x:v>
      </x:c>
      <x:c r="C5" s="21" t="str">
        <x:v>lot</x:v>
      </x:c>
      <x:c r="D5" s="28" t="str"/>
      <x:c r="E5" s="28" t="n">
        <x:f>B5*D5</x:f>
        <x:v>0</x:v>
      </x:c>
      <x:c r="F5" s="21" t="str"/>
    </x:row>
    <x:row r="6">
      <x:c r="A6" s="21" t="str">
        <x:v>Labels / learning consumables</x:v>
      </x:c>
      <x:c r="B6" s="21" t="n">
        <x:v>1</x:v>
      </x:c>
      <x:c r="C6" s="21" t="str">
        <x:v>lot</x:v>
      </x:c>
      <x:c r="D6" s="28" t="str"/>
      <x:c r="E6" s="28" t="n">
        <x:f>B6*D6</x:f>
        <x:v>0</x:v>
      </x:c>
      <x:c r="F6" s="21" t="str"/>
    </x:row>
    <x:row r="7">
      <x:c r="A7" s="21" t="str">
        <x:v>Hygiene / safety consumables</x:v>
      </x:c>
      <x:c r="B7" s="21" t="n">
        <x:v>1</x:v>
      </x:c>
      <x:c r="C7" s="21" t="str">
        <x:v>lot</x:v>
      </x:c>
      <x:c r="D7" s="28" t="str"/>
      <x:c r="E7" s="28" t="n">
        <x:f>B7*D7</x:f>
        <x:v>0</x:v>
      </x:c>
      <x:c r="F7" s="21" t="str"/>
    </x:row>
    <x:row r="8">
      <x:c r="A8" s="21" t="str">
        <x:v>Structure maintenance</x:v>
      </x:c>
      <x:c r="B8" s="21" t="n">
        <x:v>1</x:v>
      </x:c>
      <x:c r="C8" s="21" t="str">
        <x:v>lot</x:v>
      </x:c>
      <x:c r="D8" s="28" t="str"/>
      <x:c r="E8" s="28" t="n">
        <x:f>B8*D8</x:f>
        <x:v>0</x:v>
      </x:c>
      <x:c r="F8" s="21" t="str"/>
    </x:row>
    <x:row r="9">
      <x:c r="A9" s="21" t="str">
        <x:v>Teacher refresher training</x:v>
      </x:c>
      <x:c r="B9" s="21" t="n">
        <x:v>1</x:v>
      </x:c>
      <x:c r="C9" s="21" t="str">
        <x:v>lot</x:v>
      </x:c>
      <x:c r="D9" s="28" t="str"/>
      <x:c r="E9" s="28" t="n">
        <x:f>B9*D9</x:f>
        <x:v>0</x:v>
      </x:c>
      <x:c r="F9" s="21" t="str"/>
    </x:row>
    <x:row r="10">
      <x:c r="A10" s="21" t="str">
        <x:v>Measurement / sensor consumables</x:v>
      </x:c>
      <x:c r="B10" s="21" t="n">
        <x:v>1</x:v>
      </x:c>
      <x:c r="C10" s="21" t="str">
        <x:v>lot</x:v>
      </x:c>
      <x:c r="D10" s="28" t="str"/>
      <x:c r="E10" s="28" t="n">
        <x:f>B10*D10</x:f>
        <x:v>0</x:v>
      </x:c>
      <x:c r="F10" s="21" t="str"/>
    </x:row>
    <x:row r="11">
      <x:c r="A11" s="21" t="str">
        <x:v>Other</x:v>
      </x:c>
      <x:c r="B11" s="21" t="n">
        <x:v>1</x:v>
      </x:c>
      <x:c r="C11" s="21" t="str">
        <x:v>lot</x:v>
      </x:c>
      <x:c r="D11" s="28" t="str"/>
      <x:c r="E11" s="28" t="n">
        <x:f>B11*D11</x:f>
        <x:v>0</x:v>
      </x:c>
      <x:c r="F11" s="21" t="str"/>
    </x:row>
    <x:row r="12">
      <x:c r="A12" s="21"/>
      <x:c r="B12" s="21"/>
      <x:c r="C12" s="21"/>
      <x:c r="D12" s="21"/>
      <x:c r="E12" s="21"/>
      <x:c r="F12" s="21"/>
    </x:row>
    <x:row r="13">
      <x:c r="A13" s="21" t="str">
        <x:v>Calculated OPEX Total</x:v>
      </x:c>
      <x:c r="B13" s="21" t="str"/>
      <x:c r="C13" s="21" t="str"/>
      <x:c r="D13" s="28" t="n">
        <x:f>SUM(E2:E11)</x:f>
        <x:v>0</x:v>
      </x:c>
      <x:c r="E13" s="21"/>
      <x:c r="F13" s="21"/>
    </x:row>
    <x:row r="14">
      <x:c r="A14" s="21" t="str">
        <x:v>Reference maintenance estimate</x:v>
      </x:c>
      <x:c r="B14" s="21" t="str"/>
      <x:c r="C14" s="21" t="str"/>
      <x:c r="D14" s="28" t="n">
        <x:f>'Budget Summary'!B12</x:f>
        <x:v>0</x:v>
      </x:c>
      <x:c r="E14" s="21"/>
      <x:c r="F14" s="21"/>
    </x:row>
  </x:sheetData>
  <x:pageMargins left="0.7" right="0.7" top="0.75" bottom="0.75" header="0.3" footer="0.3"/>
</x:worksheet>
</file>